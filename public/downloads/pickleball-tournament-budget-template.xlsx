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mall" sheetId="1" state="visible" r:id="rId1"/>
    <sheet xmlns:r="http://schemas.openxmlformats.org/officeDocument/2006/relationships" name="Medium" sheetId="2" state="visible" r:id="rId2"/>
    <sheet xmlns:r="http://schemas.openxmlformats.org/officeDocument/2006/relationships" name="Larg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;(#,##0);-"/>
    <numFmt numFmtId="165" formatCode="0.0%"/>
    <numFmt numFmtId="166" formatCode="&quot;$&quot;#,##0"/>
  </numFmts>
  <fonts count="7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9"/>
    </font>
    <font>
      <name val="Arial"/>
      <b val="1"/>
    </font>
    <font>
      <name val="Arial"/>
      <color rgb="00000000"/>
    </font>
    <font>
      <name val="Arial"/>
      <sz val="9"/>
    </font>
    <font>
      <name val="Arial"/>
      <color rgb="000000FF"/>
    </font>
  </fonts>
  <fills count="4">
    <fill>
      <patternFill/>
    </fill>
    <fill>
      <patternFill patternType="gray125"/>
    </fill>
    <fill>
      <patternFill patternType="solid">
        <fgColor rgb="00DCE6F1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1" pivotButton="0" quotePrefix="0" xfId="0"/>
    <xf numFmtId="0" fontId="5" fillId="0" borderId="1" pivotButton="0" quotePrefix="0" xfId="0"/>
    <xf numFmtId="164" fontId="6" fillId="0" borderId="1" pivotButton="0" quotePrefix="0" xfId="0"/>
    <xf numFmtId="0" fontId="3" fillId="0" borderId="1" pivotButton="0" quotePrefix="0" xfId="0"/>
    <xf numFmtId="164" fontId="3" fillId="0" borderId="1" pivotButton="0" quotePrefix="0" xfId="0"/>
    <xf numFmtId="0" fontId="3" fillId="2" borderId="0" pivotButton="0" quotePrefix="0" xfId="0"/>
    <xf numFmtId="0" fontId="4" fillId="0" borderId="0" pivotButton="0" quotePrefix="0" xfId="0"/>
    <xf numFmtId="3" fontId="6" fillId="0" borderId="0" pivotButton="0" quotePrefix="0" xfId="0"/>
    <xf numFmtId="164" fontId="6" fillId="3" borderId="0" pivotButton="0" quotePrefix="0" xfId="0"/>
    <xf numFmtId="165" fontId="6" fillId="3" borderId="0" pivotButton="0" quotePrefix="0" xfId="0"/>
    <xf numFmtId="0" fontId="3" fillId="0" borderId="0" pivotButton="0" quotePrefix="0" xfId="0"/>
    <xf numFmtId="164" fontId="3" fillId="0" borderId="0" pivotButton="0" quotePrefix="0" xfId="0"/>
    <xf numFmtId="166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46" customWidth="1" min="1" max="1"/>
    <col width="40" customWidth="1" min="2" max="2"/>
    <col width="18" customWidth="1" min="3" max="3"/>
  </cols>
  <sheetData>
    <row r="1">
      <c r="A1" s="1" t="inlineStr">
        <is>
          <t>SMALL — 1 day, 32 players, 4 courts / GIẢI NHỎ — 1 ngày, 32 VĐV, 4 sân</t>
        </is>
      </c>
    </row>
    <row r="2">
      <c r="A2" s="2" t="inlineStr">
        <is>
          <t>ThePickleHub.net — free budget template / file dự toán miễn phí (2026). Blue cells = your inputs / ô xanh = số liệu bạn sửa.</t>
        </is>
      </c>
    </row>
    <row r="4">
      <c r="A4" s="3" t="inlineStr">
        <is>
          <t>Cost item / Hạng mục</t>
        </is>
      </c>
      <c r="B4" s="3" t="inlineStr">
        <is>
          <t>Notes / Ghi chú</t>
        </is>
      </c>
      <c r="C4" s="3" t="inlineStr">
        <is>
          <t>Amount (VND)</t>
        </is>
      </c>
    </row>
    <row r="5">
      <c r="A5" s="4" t="inlineStr">
        <is>
          <t>Court rental / Thuê sân</t>
        </is>
      </c>
      <c r="B5" s="5" t="inlineStr">
        <is>
          <t>4 courts × 10h × 300,000 VND</t>
        </is>
      </c>
      <c r="C5" s="6" t="n">
        <v>12000000</v>
      </c>
    </row>
    <row r="6">
      <c r="A6" s="4" t="inlineStr">
        <is>
          <t>Balls / Bóng</t>
        </is>
      </c>
      <c r="B6" s="5" t="inlineStr">
        <is>
          <t>3–4 cases / thùng</t>
        </is>
      </c>
      <c r="C6" s="6" t="n">
        <v>3500000</v>
      </c>
    </row>
    <row r="7">
      <c r="A7" s="4" t="inlineStr">
        <is>
          <t>Prizes / Giải thưởng</t>
        </is>
      </c>
      <c r="B7" s="5" t="inlineStr">
        <is>
          <t>medals + cash / huy chương + tiền mặt</t>
        </is>
      </c>
      <c r="C7" s="6" t="n">
        <v>7000000</v>
      </c>
    </row>
    <row r="8">
      <c r="A8" s="4" t="inlineStr">
        <is>
          <t>Referees &amp; staff / Trọng tài &amp; nhân sự</t>
        </is>
      </c>
      <c r="B8" s="5" t="inlineStr">
        <is>
          <t>volunteer-heavy / chủ yếu tình nguyện</t>
        </is>
      </c>
      <c r="C8" s="6" t="n">
        <v>4000000</v>
      </c>
    </row>
    <row r="9">
      <c r="A9" s="4" t="inlineStr">
        <is>
          <t>Shirts, medals, banners / Áo, huy chương, banner</t>
        </is>
      </c>
      <c r="B9" s="5" t="inlineStr">
        <is>
          <t>32 shirts + backdrop</t>
        </is>
      </c>
      <c r="C9" s="6" t="n">
        <v>6000000</v>
      </c>
    </row>
    <row r="10">
      <c r="A10" s="4" t="inlineStr">
        <is>
          <t>Food &amp; water / Nước &amp; ăn nhẹ</t>
        </is>
      </c>
      <c r="B10" s="5" t="inlineStr">
        <is>
          <t>all-day water + snacks</t>
        </is>
      </c>
      <c r="C10" s="6" t="n">
        <v>2500000</v>
      </c>
    </row>
    <row r="11">
      <c r="A11" s="4" t="inlineStr">
        <is>
          <t>Livestream &amp; tech / Livestream &amp; công nghệ</t>
        </is>
      </c>
      <c r="B11" s="5" t="inlineStr">
        <is>
          <t>optional / tùy chọn</t>
        </is>
      </c>
      <c r="C11" s="6" t="n">
        <v>0</v>
      </c>
    </row>
    <row r="12">
      <c r="A12" s="7" t="inlineStr">
        <is>
          <t>TOTAL COSTS / TỔNG CHI PHÍ</t>
        </is>
      </c>
      <c r="C12" s="8">
        <f>SUM(C5:C11)</f>
        <v/>
      </c>
    </row>
    <row r="14">
      <c r="A14" s="9" t="inlineStr">
        <is>
          <t>Break-even calculator / Tính lệ phí hòa vốn</t>
        </is>
      </c>
    </row>
    <row r="15">
      <c r="A15" s="10" t="inlineStr">
        <is>
          <t>Paying players / Số VĐV đóng phí</t>
        </is>
      </c>
      <c r="C15" s="11" t="n">
        <v>32</v>
      </c>
    </row>
    <row r="16">
      <c r="A16" s="10" t="inlineStr">
        <is>
          <t>Sponsorship committed (VND) / Tài trợ đã chốt</t>
        </is>
      </c>
      <c r="C16" s="12" t="n">
        <v>0</v>
      </c>
    </row>
    <row r="17">
      <c r="A17" s="10" t="inlineStr">
        <is>
          <t>Safety buffer / Dự phòng (%)</t>
        </is>
      </c>
      <c r="C17" s="13" t="n">
        <v>0.1</v>
      </c>
    </row>
    <row r="18">
      <c r="A18" s="10" t="inlineStr">
        <is>
          <t>Exchange rate (VND per USD) / Tỷ giá</t>
        </is>
      </c>
      <c r="C18" s="11" t="n">
        <v>25500</v>
      </c>
    </row>
    <row r="19">
      <c r="A19" s="14" t="inlineStr">
        <is>
          <t>Break-even entry fee (VND/player) / Lệ phí hòa vốn (đ/người)</t>
        </is>
      </c>
      <c r="C19" s="15">
        <f>MAX(0,(C12-C16)*(1+C17)/C15)</f>
        <v/>
      </c>
    </row>
    <row r="20">
      <c r="A20" s="10" t="inlineStr">
        <is>
          <t>Total costs in USD (reference) / Tổng chi phí quy đổi USD</t>
        </is>
      </c>
      <c r="C20" s="16">
        <f>C12/C18</f>
        <v/>
      </c>
    </row>
    <row r="22">
      <c r="A22" s="2" t="inlineStr">
        <is>
          <t>Free brackets: www.thepicklehub.net/tools · Guide: www.thepicklehub.net/blog/pickleball-tournament-budget-calculator-guide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46" customWidth="1" min="1" max="1"/>
    <col width="40" customWidth="1" min="2" max="2"/>
    <col width="18" customWidth="1" min="3" max="3"/>
  </cols>
  <sheetData>
    <row r="1">
      <c r="A1" s="1" t="inlineStr">
        <is>
          <t>MEDIUM — 2 days, 64–96 players, 8 courts / GIẢI VỪA — 2 ngày, 64–96 VĐV, 8 sân</t>
        </is>
      </c>
    </row>
    <row r="2">
      <c r="A2" s="2" t="inlineStr">
        <is>
          <t>ThePickleHub.net — free budget template / file dự toán miễn phí (2026). Blue cells = your inputs / ô xanh = số liệu bạn sửa.</t>
        </is>
      </c>
    </row>
    <row r="4">
      <c r="A4" s="3" t="inlineStr">
        <is>
          <t>Cost item / Hạng mục</t>
        </is>
      </c>
      <c r="B4" s="3" t="inlineStr">
        <is>
          <t>Notes / Ghi chú</t>
        </is>
      </c>
      <c r="C4" s="3" t="inlineStr">
        <is>
          <t>Amount (VND)</t>
        </is>
      </c>
    </row>
    <row r="5">
      <c r="A5" s="4" t="inlineStr">
        <is>
          <t>Court rental / Thuê sân</t>
        </is>
      </c>
      <c r="B5" s="5" t="inlineStr">
        <is>
          <t>8 courts × 2 days × 10h × 300,000 VND</t>
        </is>
      </c>
      <c r="C5" s="6" t="n">
        <v>48000000</v>
      </c>
    </row>
    <row r="6">
      <c r="A6" s="4" t="inlineStr">
        <is>
          <t>Balls / Bóng</t>
        </is>
      </c>
      <c r="B6" s="5" t="inlineStr">
        <is>
          <t>8–10 cases / thùng</t>
        </is>
      </c>
      <c r="C6" s="6" t="n">
        <v>9000000</v>
      </c>
    </row>
    <row r="7">
      <c r="A7" s="4" t="inlineStr">
        <is>
          <t>Prizes / Giải thưởng</t>
        </is>
      </c>
      <c r="B7" s="5" t="inlineStr">
        <is>
          <t>multi-division / nhiều nội dung</t>
        </is>
      </c>
      <c r="C7" s="6" t="n">
        <v>30000000</v>
      </c>
    </row>
    <row r="8">
      <c r="A8" s="4" t="inlineStr">
        <is>
          <t>Referees &amp; staff / Trọng tài &amp; nhân sự</t>
        </is>
      </c>
      <c r="B8" s="5" t="inlineStr">
        <is>
          <t>paid desk + refs for finals</t>
        </is>
      </c>
      <c r="C8" s="6" t="n">
        <v>12000000</v>
      </c>
    </row>
    <row r="9">
      <c r="A9" s="4" t="inlineStr">
        <is>
          <t>Shirts, medals, banners / Áo, huy chương, banner</t>
        </is>
      </c>
      <c r="B9" s="5" t="inlineStr">
        <is>
          <t>80 shirts + branding</t>
        </is>
      </c>
      <c r="C9" s="6" t="n">
        <v>20000000</v>
      </c>
    </row>
    <row r="10">
      <c r="A10" s="4" t="inlineStr">
        <is>
          <t>Food &amp; water / Nước &amp; ăn nhẹ</t>
        </is>
      </c>
      <c r="B10" s="5" t="inlineStr">
        <is>
          <t>2 days</t>
        </is>
      </c>
      <c r="C10" s="6" t="n">
        <v>8000000</v>
      </c>
    </row>
    <row r="11">
      <c r="A11" s="4" t="inlineStr">
        <is>
          <t>Livestream &amp; tech / Livestream &amp; công nghệ</t>
        </is>
      </c>
      <c r="B11" s="5" t="inlineStr">
        <is>
          <t>1 court stream / stream 1 sân</t>
        </is>
      </c>
      <c r="C11" s="6" t="n">
        <v>7000000</v>
      </c>
    </row>
    <row r="12">
      <c r="A12" s="7" t="inlineStr">
        <is>
          <t>TOTAL COSTS / TỔNG CHI PHÍ</t>
        </is>
      </c>
      <c r="C12" s="8">
        <f>SUM(C5:C11)</f>
        <v/>
      </c>
    </row>
    <row r="14">
      <c r="A14" s="9" t="inlineStr">
        <is>
          <t>Break-even calculator / Tính lệ phí hòa vốn</t>
        </is>
      </c>
    </row>
    <row r="15">
      <c r="A15" s="10" t="inlineStr">
        <is>
          <t>Paying players / Số VĐV đóng phí</t>
        </is>
      </c>
      <c r="C15" s="11" t="n">
        <v>80</v>
      </c>
    </row>
    <row r="16">
      <c r="A16" s="10" t="inlineStr">
        <is>
          <t>Sponsorship committed (VND) / Tài trợ đã chốt</t>
        </is>
      </c>
      <c r="C16" s="12" t="n">
        <v>20000000</v>
      </c>
    </row>
    <row r="17">
      <c r="A17" s="10" t="inlineStr">
        <is>
          <t>Safety buffer / Dự phòng (%)</t>
        </is>
      </c>
      <c r="C17" s="13" t="n">
        <v>0.1</v>
      </c>
    </row>
    <row r="18">
      <c r="A18" s="10" t="inlineStr">
        <is>
          <t>Exchange rate (VND per USD) / Tỷ giá</t>
        </is>
      </c>
      <c r="C18" s="11" t="n">
        <v>25500</v>
      </c>
    </row>
    <row r="19">
      <c r="A19" s="14" t="inlineStr">
        <is>
          <t>Break-even entry fee (VND/player) / Lệ phí hòa vốn (đ/người)</t>
        </is>
      </c>
      <c r="C19" s="15">
        <f>MAX(0,(C12-C16)*(1+C17)/C15)</f>
        <v/>
      </c>
    </row>
    <row r="20">
      <c r="A20" s="10" t="inlineStr">
        <is>
          <t>Total costs in USD (reference) / Tổng chi phí quy đổi USD</t>
        </is>
      </c>
      <c r="C20" s="16">
        <f>C12/C18</f>
        <v/>
      </c>
    </row>
    <row r="22">
      <c r="A22" s="2" t="inlineStr">
        <is>
          <t>Free brackets: www.thepicklehub.net/tools · Guide: www.thepicklehub.net/blog/pickleball-tournament-budget-calculator-guide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46" customWidth="1" min="1" max="1"/>
    <col width="40" customWidth="1" min="2" max="2"/>
    <col width="18" customWidth="1" min="3" max="3"/>
  </cols>
  <sheetData>
    <row r="1">
      <c r="A1" s="1" t="inlineStr">
        <is>
          <t>LARGE — 3 days, 128+ players, 12+ courts / GIẢI LỚN — 3 ngày, 128+ VĐV, 12+ sân</t>
        </is>
      </c>
    </row>
    <row r="2">
      <c r="A2" s="2" t="inlineStr">
        <is>
          <t>ThePickleHub.net — free budget template / file dự toán miễn phí (2026). Blue cells = your inputs / ô xanh = số liệu bạn sửa.</t>
        </is>
      </c>
    </row>
    <row r="4">
      <c r="A4" s="3" t="inlineStr">
        <is>
          <t>Cost item / Hạng mục</t>
        </is>
      </c>
      <c r="B4" s="3" t="inlineStr">
        <is>
          <t>Notes / Ghi chú</t>
        </is>
      </c>
      <c r="C4" s="3" t="inlineStr">
        <is>
          <t>Amount (VND)</t>
        </is>
      </c>
    </row>
    <row r="5">
      <c r="A5" s="4" t="inlineStr">
        <is>
          <t>Court rental / Thuê sân</t>
        </is>
      </c>
      <c r="B5" s="5" t="inlineStr">
        <is>
          <t>12 courts × 3 days × 10h × 300,000 VND</t>
        </is>
      </c>
      <c r="C5" s="6" t="n">
        <v>108000000</v>
      </c>
    </row>
    <row r="6">
      <c r="A6" s="4" t="inlineStr">
        <is>
          <t>Balls / Bóng</t>
        </is>
      </c>
      <c r="B6" s="5" t="inlineStr">
        <is>
          <t>15+ cases / thùng</t>
        </is>
      </c>
      <c r="C6" s="6" t="n">
        <v>15000000</v>
      </c>
    </row>
    <row r="7">
      <c r="A7" s="4" t="inlineStr">
        <is>
          <t>Prizes / Giải thưởng</t>
        </is>
      </c>
      <c r="B7" s="5" t="inlineStr">
        <is>
          <t>full prize pool / quỹ thưởng đầy đủ</t>
        </is>
      </c>
      <c r="C7" s="6" t="n">
        <v>60000000</v>
      </c>
    </row>
    <row r="8">
      <c r="A8" s="4" t="inlineStr">
        <is>
          <t>Referees &amp; staff / Trọng tài &amp; nhân sự</t>
        </is>
      </c>
      <c r="B8" s="5" t="inlineStr">
        <is>
          <t>paid ref per court / trọng tài mỗi sân</t>
        </is>
      </c>
      <c r="C8" s="6" t="n">
        <v>30000000</v>
      </c>
    </row>
    <row r="9">
      <c r="A9" s="4" t="inlineStr">
        <is>
          <t>Shirts, medals, banners / Áo, huy chương, banner</t>
        </is>
      </c>
      <c r="B9" s="5" t="inlineStr">
        <is>
          <t>128+ shirts + full branding</t>
        </is>
      </c>
      <c r="C9" s="6" t="n">
        <v>40000000</v>
      </c>
    </row>
    <row r="10">
      <c r="A10" s="4" t="inlineStr">
        <is>
          <t>Food &amp; water / Nước &amp; ăn nhẹ</t>
        </is>
      </c>
      <c r="B10" s="5" t="inlineStr">
        <is>
          <t>3 days</t>
        </is>
      </c>
      <c r="C10" s="6" t="n">
        <v>20000000</v>
      </c>
    </row>
    <row r="11">
      <c r="A11" s="4" t="inlineStr">
        <is>
          <t>Livestream &amp; tech / Livestream &amp; công nghệ</t>
        </is>
      </c>
      <c r="B11" s="5" t="inlineStr">
        <is>
          <t>multi-court production / đa sân</t>
        </is>
      </c>
      <c r="C11" s="6" t="n">
        <v>20000000</v>
      </c>
    </row>
    <row r="12">
      <c r="A12" s="7" t="inlineStr">
        <is>
          <t>TOTAL COSTS / TỔNG CHI PHÍ</t>
        </is>
      </c>
      <c r="C12" s="8">
        <f>SUM(C5:C11)</f>
        <v/>
      </c>
    </row>
    <row r="14">
      <c r="A14" s="9" t="inlineStr">
        <is>
          <t>Break-even calculator / Tính lệ phí hòa vốn</t>
        </is>
      </c>
    </row>
    <row r="15">
      <c r="A15" s="10" t="inlineStr">
        <is>
          <t>Paying players / Số VĐV đóng phí</t>
        </is>
      </c>
      <c r="C15" s="11" t="n">
        <v>128</v>
      </c>
    </row>
    <row r="16">
      <c r="A16" s="10" t="inlineStr">
        <is>
          <t>Sponsorship committed (VND) / Tài trợ đã chốt</t>
        </is>
      </c>
      <c r="C16" s="12" t="n">
        <v>100000000</v>
      </c>
    </row>
    <row r="17">
      <c r="A17" s="10" t="inlineStr">
        <is>
          <t>Safety buffer / Dự phòng (%)</t>
        </is>
      </c>
      <c r="C17" s="13" t="n">
        <v>0.1</v>
      </c>
    </row>
    <row r="18">
      <c r="A18" s="10" t="inlineStr">
        <is>
          <t>Exchange rate (VND per USD) / Tỷ giá</t>
        </is>
      </c>
      <c r="C18" s="11" t="n">
        <v>25500</v>
      </c>
    </row>
    <row r="19">
      <c r="A19" s="14" t="inlineStr">
        <is>
          <t>Break-even entry fee (VND/player) / Lệ phí hòa vốn (đ/người)</t>
        </is>
      </c>
      <c r="C19" s="15">
        <f>MAX(0,(C12-C16)*(1+C17)/C15)</f>
        <v/>
      </c>
    </row>
    <row r="20">
      <c r="A20" s="10" t="inlineStr">
        <is>
          <t>Total costs in USD (reference) / Tổng chi phí quy đổi USD</t>
        </is>
      </c>
      <c r="C20" s="16">
        <f>C12/C18</f>
        <v/>
      </c>
    </row>
    <row r="22">
      <c r="A22" s="2" t="inlineStr">
        <is>
          <t>Free brackets: www.thepicklehub.net/tools · Guide: www.thepicklehub.net/blog/pickleball-tournament-budget-calculator-guide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2026-06-13T00:15:40Z</dcterms:created>
  <dcterms:modified xmlns:dcterms="http://purl.org/dc/terms/" xmlns:xsi="http://www.w3.org/2001/XMLSchema-instance" xsi:type="dcterms:W3CDTF">2026-06-13T00:15:40Z</dcterms:modified>
</cp:coreProperties>
</file>